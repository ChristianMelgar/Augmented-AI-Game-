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mp;L &amp; External Signals" sheetId="1" state="visible" r:id="rId3"/>
    <sheet name="Impact Framework" sheetId="2" state="visible" r:id="rId4"/>
    <sheet name="Interview Not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<sst xmlns="http://schemas.openxmlformats.org/spreadsheetml/2006/main" count="180" uniqueCount="170">
  <si>
    <t xml:space="preserve">NordicFoods Group — P&amp;L &amp; External Signals</t>
  </si>
  <si>
    <t xml:space="preserve">Source data for hypothesis development  |  Phase 1: Project Initiation</t>
  </si>
  <si>
    <t xml:space="preserve">GROUP P&amp;L SUMMARY  (€M)</t>
  </si>
  <si>
    <t xml:space="preserve">FY2022</t>
  </si>
  <si>
    <t xml:space="preserve">FY2023</t>
  </si>
  <si>
    <t xml:space="preserve">FY2024</t>
  </si>
  <si>
    <t xml:space="preserve">Δ YoY</t>
  </si>
  <si>
    <t xml:space="preserve">Notes</t>
  </si>
  <si>
    <t xml:space="preserve">Revenue</t>
  </si>
  <si>
    <t xml:space="preserve">Growth slowing; DACH private-label under pressure</t>
  </si>
  <si>
    <t xml:space="preserve">Gross Profit</t>
  </si>
  <si>
    <t xml:space="preserve">Margin compression post-Polaris integration</t>
  </si>
  <si>
    <t xml:space="preserve">Gross Margin %</t>
  </si>
  <si>
    <t xml:space="preserve">—</t>
  </si>
  <si>
    <t xml:space="preserve">Mix shift toward lower-margin PL; Gdansk drag</t>
  </si>
  <si>
    <t xml:space="preserve">EBITDA</t>
  </si>
  <si>
    <t xml:space="preserve">Fixed cost absorption worsening</t>
  </si>
  <si>
    <t xml:space="preserve">EBIT</t>
  </si>
  <si>
    <t xml:space="preserve">CEO flagged at investor day as unsustainable</t>
  </si>
  <si>
    <t xml:space="preserve">EBIT Margin %</t>
  </si>
  <si>
    <t xml:space="preserve">Target per CEO: return to 10%+ by 2027</t>
  </si>
  <si>
    <t xml:space="preserve">Net Debt</t>
  </si>
  <si>
    <t xml:space="preserve">Polaris acquisition debt still being worked down</t>
  </si>
  <si>
    <t xml:space="preserve">ND / EBITDA</t>
  </si>
  <si>
    <t xml:space="preserve">Covenant threshold at 3.5x; currently above 3.7x</t>
  </si>
  <si>
    <t xml:space="preserve">SITE-LEVEL P&amp;L CONTRIBUTION  (€M, FY2024)</t>
  </si>
  <si>
    <t xml:space="preserve">Site</t>
  </si>
  <si>
    <t xml:space="preserve">EBIT Margin</t>
  </si>
  <si>
    <t xml:space="preserve">Capacity Util.</t>
  </si>
  <si>
    <t xml:space="preserve">Aarhus (DK)</t>
  </si>
  <si>
    <t xml:space="preserve">91%</t>
  </si>
  <si>
    <t xml:space="preserve">Anchor site; dairy &amp; ambient. Constrained on line 3.</t>
  </si>
  <si>
    <t xml:space="preserve">Gothenburg (SE)</t>
  </si>
  <si>
    <t xml:space="preserve">78%</t>
  </si>
  <si>
    <t xml:space="preserve">Chilled; strong DACH route. Logistics cost spike in H2.</t>
  </si>
  <si>
    <t xml:space="preserve">Oslo (NO)</t>
  </si>
  <si>
    <t xml:space="preserve">64%</t>
  </si>
  <si>
    <t xml:space="preserve">Smallest site; high per-unit cost. Rationalisation candidate.</t>
  </si>
  <si>
    <t xml:space="preserve">Gdansk (PL)</t>
  </si>
  <si>
    <t xml:space="preserve">54%</t>
  </si>
  <si>
    <t xml:space="preserve">Acquired 2022. Overlapping portfolio. Integration incomplete.</t>
  </si>
  <si>
    <t xml:space="preserve">EXTERNAL SIGNALS &amp; PRESS EXCERPTS</t>
  </si>
  <si>
    <t xml:space="preserve">Source</t>
  </si>
  <si>
    <t xml:space="preserve">Date</t>
  </si>
  <si>
    <t xml:space="preserve">Type</t>
  </si>
  <si>
    <t xml:space="preserve">Key Signal</t>
  </si>
  <si>
    <t xml:space="preserve">Relevance to Hypothesis</t>
  </si>
  <si>
    <t xml:space="preserve">Investor Day Transcript</t>
  </si>
  <si>
    <t xml:space="preserve">Mar 2024</t>
  </si>
  <si>
    <t xml:space="preserve">Management</t>
  </si>
  <si>
    <t xml:space="preserve">"Our network was designed for a different business. The Polaris acquisition added capacity we don't fully know how to use yet. We need to make a decision on the long-term footprint — and we need to make it this year." — Henrik Strand, CEO</t>
  </si>
  <si>
    <t xml:space="preserve">Direct mandate; CEO publicly committed to Network 2030 decision in H1 2025</t>
  </si>
  <si>
    <t xml:space="preserve">Trade Press — Lebensmittel Zeitung</t>
  </si>
  <si>
    <t xml:space="preserve">Jan 2024</t>
  </si>
  <si>
    <t xml:space="preserve">Market</t>
  </si>
  <si>
    <t xml:space="preserve">DACH retailers accelerating shift to own-label across ambient and chilled. Three major chains reduced branded allocation by 8–14% in 2023. NordicFoods among suppliers flagged as 'under review' for 2025 ranging.</t>
  </si>
  <si>
    <t xml:space="preserve">Demand risk in largest export market; urgency for logistics cost reduction</t>
  </si>
  <si>
    <t xml:space="preserve">Analyst Note — Nordea Equities</t>
  </si>
  <si>
    <t xml:space="preserve">Feb 2024</t>
  </si>
  <si>
    <t xml:space="preserve">Analyst</t>
  </si>
  <si>
    <t xml:space="preserve">NordicFoods ND/EBITDA approaching covenant threshold. Free cash flow insufficient to service debt and fund Gdansk integration capex simultaneously. Network decision seen as precondition for refinancing.</t>
  </si>
  <si>
    <t xml:space="preserve">Financial pressure + capital allocation constraint reinforces urgency</t>
  </si>
  <si>
    <t xml:space="preserve">Internal Memo (COO to ExCo)</t>
  </si>
  <si>
    <t xml:space="preserve">Nov 2023</t>
  </si>
  <si>
    <t xml:space="preserve">Internal</t>
  </si>
  <si>
    <t xml:space="preserve">Cross-site coordination continues to deteriorate. Site directors optimising for local P&amp;L rather than network efficiency. Three instances in Q3 where capacity existed in Gdansk but Gothenburg ran overtime rather than transfer production.</t>
  </si>
  <si>
    <t xml:space="preserve">Behavioural / governance failure — structural incentives misaligned</t>
  </si>
  <si>
    <t xml:space="preserve">Polaris Post-Acquisition Review</t>
  </si>
  <si>
    <t xml:space="preserve">Sep 2023</t>
  </si>
  <si>
    <t xml:space="preserve">18 months post-close: 7 of 11 synergy workstreams behind plan. Primary blocker is portfolio overlap — DK and PL produce 14 identical SKUs with no rationalisation agreed. HR integration complete; commercial integration stalled.</t>
  </si>
  <si>
    <t xml:space="preserve">Integration failure is a root cause, not just a symptom — hypothesis around portfolio rationalisation</t>
  </si>
  <si>
    <t xml:space="preserve">NordicFoods Network 2030 — Impact Framework</t>
  </si>
  <si>
    <t xml:space="preserve">Pre-populated with target outcomes and performance ambitions. Use as input to structure hypothesis and impact case.</t>
  </si>
  <si>
    <t xml:space="preserve">STRATEGIC AMBITION</t>
  </si>
  <si>
    <t xml:space="preserve">Optimise the NordicFoods production and logistics network to reduce total cost-to-serve by 18–22%, restore EBIT to 10%+ by 2027, and position the business to grow profitably in DACH and Nordic markets — without further M&amp;A.</t>
  </si>
  <si>
    <t xml:space="preserve">FINANCIAL IMPACT MEASURES</t>
  </si>
  <si>
    <t xml:space="preserve">Measure</t>
  </si>
  <si>
    <t xml:space="preserve">Current State (FY2024)</t>
  </si>
  <si>
    <t xml:space="preserve">Target (FY2027)</t>
  </si>
  <si>
    <t xml:space="preserve">Implied Delta</t>
  </si>
  <si>
    <t xml:space="preserve">Group EBIT (€M)</t>
  </si>
  <si>
    <t xml:space="preserve">€75M</t>
  </si>
  <si>
    <t xml:space="preserve">€125–130M</t>
  </si>
  <si>
    <t xml:space="preserve">+€50–55M</t>
  </si>
  <si>
    <t xml:space="preserve">6.2%</t>
  </si>
  <si>
    <t xml:space="preserve">10.0–10.5%</t>
  </si>
  <si>
    <t xml:space="preserve">+3.8–4.3pp</t>
  </si>
  <si>
    <t xml:space="preserve">Network cost-to-serve (€M)</t>
  </si>
  <si>
    <t xml:space="preserve">~€310M total</t>
  </si>
  <si>
    <t xml:space="preserve">~€250–260M</t>
  </si>
  <si>
    <t xml:space="preserve">−€50–60M</t>
  </si>
  <si>
    <t xml:space="preserve">Logistics cost as % revenue</t>
  </si>
  <si>
    <t xml:space="preserve">8.4% (DACH: 11.2%)</t>
  </si>
  <si>
    <t xml:space="preserve">&lt;7.0% group / &lt;9.0% DACH</t>
  </si>
  <si>
    <t xml:space="preserve">~1.5pp group improvement</t>
  </si>
  <si>
    <t xml:space="preserve">Capex envelope for transition</t>
  </si>
  <si>
    <t xml:space="preserve">Max €85M over 3 years</t>
  </si>
  <si>
    <t xml:space="preserve">Board-approved ceiling</t>
  </si>
  <si>
    <t xml:space="preserve">Net Debt / EBITDA</t>
  </si>
  <si>
    <t xml:space="preserve">3.7x (above covenant)</t>
  </si>
  <si>
    <t xml:space="preserve">&lt;2.8x by FY2026</t>
  </si>
  <si>
    <t xml:space="preserve">Covenant compliance + refinancing</t>
  </si>
  <si>
    <t xml:space="preserve">FCF (post-transition)</t>
  </si>
  <si>
    <t xml:space="preserve">Negative in restructuring yr</t>
  </si>
  <si>
    <t xml:space="preserve">&gt;€55M annual by FY2027</t>
  </si>
  <si>
    <t xml:space="preserve">Debt paydown capacity</t>
  </si>
  <si>
    <t xml:space="preserve">OPERATIONAL IMPACT MEASURES</t>
  </si>
  <si>
    <t xml:space="preserve">Network capacity utilisation (avg)</t>
  </si>
  <si>
    <t xml:space="preserve">71% (range: 54–91%)</t>
  </si>
  <si>
    <t xml:space="preserve">82–86% across retained sites</t>
  </si>
  <si>
    <t xml:space="preserve">Assumes Gdansk exit or deep specialisation</t>
  </si>
  <si>
    <t xml:space="preserve">SKU count (group)</t>
  </si>
  <si>
    <t xml:space="preserve">~1,840 active SKUs</t>
  </si>
  <si>
    <t xml:space="preserve">&lt;1,400 (−24%)</t>
  </si>
  <si>
    <t xml:space="preserve">Rationalise overlap from Polaris; focus on top-80% volume</t>
  </si>
  <si>
    <t xml:space="preserve">Sites in operation</t>
  </si>
  <si>
    <t xml:space="preserve">4 (DK, SE, NO, PL)</t>
  </si>
  <si>
    <t xml:space="preserve">2–3 (scenario-dependent)</t>
  </si>
  <si>
    <t xml:space="preserve">Decision pending analysis</t>
  </si>
  <si>
    <t xml:space="preserve">DACH on-time-in-full delivery</t>
  </si>
  <si>
    <t xml:space="preserve">88%</t>
  </si>
  <si>
    <t xml:space="preserve">&gt;96%</t>
  </si>
  <si>
    <t xml:space="preserve">Currently constrained by Gothenburg logistics cost/capacity tension</t>
  </si>
  <si>
    <t xml:space="preserve">Make vs. buy ratio (volume)</t>
  </si>
  <si>
    <t xml:space="preserve">94% make</t>
  </si>
  <si>
    <t xml:space="preserve">~85% make / 15% outsource</t>
  </si>
  <si>
    <t xml:space="preserve">Selective co-manufacturing for tail SKUs and surge capacity</t>
  </si>
  <si>
    <t xml:space="preserve">Production transfer time (cross-site)</t>
  </si>
  <si>
    <t xml:space="preserve">Not systematically managed</t>
  </si>
  <si>
    <t xml:space="preserve">Structured within 30 days of decision</t>
  </si>
  <si>
    <t xml:space="preserve">Requires governance change</t>
  </si>
  <si>
    <t xml:space="preserve">BEHAVIOURAL &amp; WAYS-OF-WORKING IMPACT</t>
  </si>
  <si>
    <t xml:space="preserve">Behaviour / Practice</t>
  </si>
  <si>
    <t xml:space="preserve">Current State</t>
  </si>
  <si>
    <t xml:space="preserve">Target State</t>
  </si>
  <si>
    <t xml:space="preserve">Change Required</t>
  </si>
  <si>
    <t xml:space="preserve">Network decision-making</t>
  </si>
  <si>
    <t xml:space="preserve">Decentralised: site directors optimise for local P&amp;L. Cross-site coordination informal and slow.</t>
  </si>
  <si>
    <t xml:space="preserve">Centralised network decisions on capacity allocation, SKU placement, and capex — with site input but ExCo authority.</t>
  </si>
  <si>
    <t xml:space="preserve">New governance structure; site MD accountability shifted from site P&amp;L to network contribution</t>
  </si>
  <si>
    <t xml:space="preserve">Capacity sharing across sites</t>
  </si>
  <si>
    <t xml:space="preserve">Sites actively resist taking on production from other sites — seen as diluting local efficiency metrics.</t>
  </si>
  <si>
    <t xml:space="preserve">Routine production transfer between sites based on network optimisation, not site preference.</t>
  </si>
  <si>
    <t xml:space="preserve">Change incentive structure; KPIs reframed around network output, not site utilisation</t>
  </si>
  <si>
    <t xml:space="preserve">Portfolio ownership</t>
  </si>
  <si>
    <t xml:space="preserve">Commercial owns SKUs; operations manages consequences. No cross-functional SKU rationalisation process.</t>
  </si>
  <si>
    <t xml:space="preserve">Joint commercial-operations SKU governance with quarterly review and clear rationalisation criteria.</t>
  </si>
  <si>
    <t xml:space="preserve">New cross-functional forum; commercial leadership buy-in essential</t>
  </si>
  <si>
    <t xml:space="preserve">Planning horizon</t>
  </si>
  <si>
    <t xml:space="preserve">12-month rolling plans by site. No integrated network plan beyond budget cycle.</t>
  </si>
  <si>
    <t xml:space="preserve">36-month network plan updated semi-annually, owned by COO, reviewed by ExCo.</t>
  </si>
  <si>
    <t xml:space="preserve">New planning capability; likely requires external hire or upskilling</t>
  </si>
  <si>
    <t xml:space="preserve">ExCo engagement with network</t>
  </si>
  <si>
    <t xml:space="preserve">Network viewed as operational matter. CFO and CEO engaged only at capex approval stage.</t>
  </si>
  <si>
    <t xml:space="preserve">Network performance as standing ExCo agenda item. CEO as visible sponsor of Network 2030.</t>
  </si>
  <si>
    <t xml:space="preserve">CEO commitment already made publicly (investor day). ExCo cadence change needed.</t>
  </si>
  <si>
    <t xml:space="preserve">NordicFoods — Stakeholder Interview Notes  (unstructured)</t>
  </si>
  <si>
    <t xml:space="preserve">Raw notes from six stakeholder conversations. Lightly edited for readability. Use as input for case for change, hypothesis, and early alignment diagnostics.</t>
  </si>
  <si>
    <t xml:space="preserve">Henrik Strand — CEO</t>
  </si>
  <si>
    <t xml:space="preserve">We made the Polaris acquisition because we needed Polish capacity and a foothold in Eastern European private label. The price was right and the timing was right. What we didn't fully price in was the integration complexity — two different cultures, two different ways of running a factory, and a portfolio overlap we still haven't resolved 18 months later.
The honest answer on the network is that it doesn't fit the business we are now. We have four sites, but the logic that made four sites make sense doesn't apply anymore. We grew through acquisition. We didn't design this network — it happened to us.
I've told the board we'll have a decision by the end of the year. I've said it publicly. So there is no option to delay. What I need from this engagement is a clear recommendation I can defend — not a set of options. I can defend difficult decisions if the logic is watertight. What I can't defend is spending 10 weeks and coming back with 'it depends'.
On the people side — this is going to be hard. Gdansk has 340 people. Oslo has 180. I'm not naive about what certain scenarios mean. But we can't protect jobs in the short term by making the business unviable in the long term.</t>
  </si>
  <si>
    <t xml:space="preserve">Ingrid Hoffmann — CFO</t>
  </si>
  <si>
    <t xml:space="preserve">The debt position is the constraint that everything else has to be read against. We're at 3.7x net debt to EBITDA. Our covenant is 3.5x. We got a waiver last quarter. We will not get another one without a credible plan.
What that means practically: any restructuring scenario has to be self-funding within the first 18 months, or it needs to unlock an asset sale that reduces debt. If we're closing a site, the proceeds from that site go to debt reduction first, capex second. That's non-negotiable.
On the cash flow bridge — I've seen too many consulting decks that show a big EBIT improvement in year three without showing me what the cash profile looks like in years one and two. I need to see the J-curve. I need to see the restructuring charge. I need to see when we're cash flow positive again. If the answer is 'we go negative for 24 months', I need to know that now, not when we're presenting to the board.
The Gdansk situation is the most complex. We have a deferred consideration payment due in March 2025 — €18M. That was priced into the deal. But if we're also funding a restructuring of that site in the same window, the cash position gets very tight. I want to understand what the options are before we're locked in.</t>
  </si>
  <si>
    <t xml:space="preserve">Lars Eriksson — COO</t>
  </si>
  <si>
    <t xml:space="preserve">The operational reality is that this network runs on relationships and informal agreements, not on process. When Gothenburg needs to flex capacity, Åsa — the site director there — calls me directly. When there's a problem in Gdansk, Marek calls me. That works because I know everyone and I've been here 14 years. It doesn't scale, and it means decisions that should take a day take a week.
The cross-site transfers are the clearest example of what's broken. In Q3 we had three situations where Gdansk had available capacity — the right lines, the right product category — and Gothenburg ran overtime instead. Why? Because the Gothenburg P&amp;L gets credited for what it produces. If Gothenburg transfers production to Gdansk, it loses revenue in its own books. The incentive to collaborate doesn't exist in the current structure.
We've talked about fixing this for two years. The reason it hasn't been fixed is that it requires the site directors to accept a change in how their performance is measured — and that conversation goes to the Remuneration Committee. It's been de-prioritised every time there's been something more urgent.
On scenarios — I've done my own rough modelling. The Oslo site is the most exposed. The unit economics have never recovered from the 2019 line closure. It was always positioned as a 'local for local' supply point for Norway, but Norwegian retail has consolidated and the logic for maintaining a full manufacturing site there is thin. I haven't shared this analysis formally. I wanted to wait for the engagement to be confirmed.</t>
  </si>
  <si>
    <t xml:space="preserve">Marek Kowalski — Site Director — Gdansk</t>
  </si>
  <si>
    <t xml:space="preserve">I want to be direct with you. I know what this engagement is really about. There have been three 'network reviews' since we were acquired. Each time, Gdansk is on the list. Each time, we survive because the numbers are close and the politics are complicated. This time feels different.
What I would ask you to look at honestly: the Gdansk site has not been given a fair chance. The integration plan called for €22M of investment in line 2 and line 5 upgrades by end of 2023. We got €7M. The remaining €15M was deferred because of group cash constraints. So when you look at our capacity utilisation at 54%, you need to understand that 54% is partly because we've been running underpowered. If line 2 is upgraded, our utilisation goes to 74% and our unit cost drops materially.
The other issue is the portfolio overlap. We produce 14 SKUs that are also produced in Aarhus. But we've never been given the commercial mandate to go and win the business that would make Gdansk the primary production point for those SKUs. The volume stays in Aarhus because Aarhus has the customer relationships. That's not a production problem. That's a commercial and governance problem.
I'm not saying don't restructure. I'm saying look at the counterfactual properly — what does Gdansk look like with the investment it was promised and the commercial mandate it was never given.</t>
  </si>
  <si>
    <t xml:space="preserve">Åsa Lindgren — Site Director — Gothenburg</t>
  </si>
  <si>
    <t xml:space="preserve">Gothenburg is in a strange position in this review. On paper, we look fine — 78% utilisation, positive EBIT contribution. But the DACH logistics problem is entirely Gothenburg's problem to solve, and I'm not sure it can be solved from here.
The issue is geography. We're the closest Nordic site to DACH. We've always been the natural supply point. But as volumes have grown in DACH — particularly chilled — the cost of running product from Gothenburg to Frankfurt and Munich has become the single biggest item in our cost-to-serve. It's now 11.2% of DACH revenue. That's not sustainable.
Three options as I see it: one, we invest in a co-manufacturer or 3PL arrangement in Germany — that takes logistics cost out but adds complexity and quality risk. Two, we look at whether Gdansk — if it were upgraded — could take DACH supply. The geography is actually better from Gdansk to Germany than from Gothenburg. Three, we accept the cost and compensate through pricing — but the commercial team has already told me that DACH customers won't accept another price increase this year.
On the cross-site transfer issue Lars mentioned — I'm aware that our behaviour looks suboptimal from a network perspective. But I'm measured on Gothenburg P&amp;L. If I transfer production to Gdansk, I lose revenue, my utilisation drops, and my numbers look bad. I've raised this with Lars twice. Until the incentive structure changes, I'll keep optimising for Gothenburg.</t>
  </si>
  <si>
    <t xml:space="preserve">Jens Pedersen — Head of Commercial — DACH &amp; Nordic</t>
  </si>
  <si>
    <t xml:space="preserve">The commercial view on this is simple: DACH is the growth market and we're at risk of losing our position. We've spent five years building relationships with the four major DACH retailers. Three of them have told us in the last six months that our service levels are 'increasingly inconsistent'. Two of them have put us on review for 2025 ranging.
The service level problem is partly logistics, partly availability. When Gothenburg has a capacity crunch, we delay. When Gdansk can't produce to spec, we delay. The customer sees unreliability and draws conclusions about our ability to scale with them.
My position on the network review: whatever you decide operationally, do not compromise our ability to serve DACH. That is a €480M revenue opportunity over the next five years. Any restructuring that improves our cost position but damages our DACH service capability is not a good trade.
On portfolio rationalisation — yes, we have too many SKUs. Yes, there's overlap from Polaris. But the commercial team was not involved in decisions about which SKUs to rationalise, and we're not going to be comfortable with a purely operations-led view on this. Some of those 'duplicate' SKUs are actually differentiated in DACH. I need commercial to have a seat at that table.</t>
  </si>
</sst>
</file>

<file path=xl/styles.xml><?xml version="1.0" encoding="utf-8"?>
<styleSheet xmlns="http://schemas.openxmlformats.org/spreadsheetml/2006/main">
  <numFmts count="7">
    <numFmt numFmtId="164" formatCode="General"/>
    <numFmt numFmtId="165" formatCode="#,##0"/>
    <numFmt numFmtId="166" formatCode="\+0.0%;\-0.0%;\-"/>
    <numFmt numFmtId="167" formatCode="0.0%"/>
    <numFmt numFmtId="168" formatCode="0.0\x"/>
    <numFmt numFmtId="169" formatCode="\+0.0\x;\-0.0\x;\-"/>
    <numFmt numFmtId="170" formatCode="0.0\x"/>
  </numFmts>
  <fonts count="11">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i val="true"/>
      <sz val="9"/>
      <color rgb="FF6B655A"/>
      <name val="Arial"/>
      <family val="0"/>
      <charset val="1"/>
    </font>
    <font>
      <b val="true"/>
      <sz val="10"/>
      <color rgb="FFFFFFFF"/>
      <name val="Arial"/>
      <family val="0"/>
      <charset val="1"/>
    </font>
    <font>
      <b val="true"/>
      <sz val="9"/>
      <color rgb="FF1A1814"/>
      <name val="Arial"/>
      <family val="0"/>
      <charset val="1"/>
    </font>
    <font>
      <sz val="9"/>
      <color rgb="FF1A1814"/>
      <name val="Arial"/>
      <family val="0"/>
      <charset val="1"/>
    </font>
    <font>
      <sz val="9"/>
      <name val="Arial"/>
      <family val="0"/>
      <charset val="1"/>
    </font>
    <font>
      <b val="true"/>
      <sz val="10"/>
      <color rgb="FF1A1814"/>
      <name val="Arial"/>
      <family val="0"/>
      <charset val="1"/>
    </font>
  </fonts>
  <fills count="9">
    <fill>
      <patternFill patternType="none"/>
    </fill>
    <fill>
      <patternFill patternType="gray125"/>
    </fill>
    <fill>
      <patternFill patternType="solid">
        <fgColor rgb="FF6B2230"/>
        <bgColor rgb="FF993300"/>
      </patternFill>
    </fill>
    <fill>
      <patternFill patternType="solid">
        <fgColor rgb="FFF5F1E8"/>
        <bgColor rgb="FFFAF7F2"/>
      </patternFill>
    </fill>
    <fill>
      <patternFill patternType="solid">
        <fgColor rgb="FF1A1814"/>
        <bgColor rgb="FF000000"/>
      </patternFill>
    </fill>
    <fill>
      <patternFill patternType="solid">
        <fgColor rgb="FFFAF7F2"/>
        <bgColor rgb="FFFFF8EE"/>
      </patternFill>
    </fill>
    <fill>
      <patternFill patternType="solid">
        <fgColor rgb="FFFFFFFF"/>
        <bgColor rgb="FFFFF8EE"/>
      </patternFill>
    </fill>
    <fill>
      <patternFill patternType="solid">
        <fgColor rgb="FFFFF8EE"/>
        <bgColor rgb="FFFAF7F2"/>
      </patternFill>
    </fill>
    <fill>
      <patternFill patternType="solid">
        <fgColor rgb="FFC8973A"/>
        <bgColor rgb="FF969696"/>
      </patternFill>
    </fill>
  </fills>
  <borders count="2">
    <border diagonalUp="false" diagonalDown="false">
      <left/>
      <right/>
      <top/>
      <bottom/>
      <diagonal/>
    </border>
    <border diagonalUp="false" diagonalDown="false">
      <left/>
      <right/>
      <top/>
      <bottom style="thin">
        <color rgb="FFD6CFB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left" vertical="top" textRotation="0" wrapText="true" indent="0" shrinkToFit="false"/>
      <protection locked="true" hidden="false"/>
    </xf>
    <xf numFmtId="164" fontId="6" fillId="4" borderId="0" xfId="0" applyFont="true" applyBorder="true" applyAlignment="true" applyProtection="false">
      <alignment horizontal="left" vertical="center" textRotation="0" wrapText="false" indent="0" shrinkToFit="false"/>
      <protection locked="true" hidden="false"/>
    </xf>
    <xf numFmtId="164" fontId="7" fillId="3" borderId="0" xfId="0" applyFont="true" applyBorder="false" applyAlignment="true" applyProtection="false">
      <alignment horizontal="left" vertical="center" textRotation="0" wrapText="false" indent="0" shrinkToFit="false"/>
      <protection locked="true" hidden="false"/>
    </xf>
    <xf numFmtId="164" fontId="8" fillId="5" borderId="0" xfId="0" applyFont="true" applyBorder="false" applyAlignment="true" applyProtection="false">
      <alignment horizontal="left" vertical="top" textRotation="0" wrapText="true" indent="0" shrinkToFit="false"/>
      <protection locked="true" hidden="false"/>
    </xf>
    <xf numFmtId="165" fontId="8" fillId="5" borderId="0" xfId="0" applyFont="true" applyBorder="false" applyAlignment="true" applyProtection="false">
      <alignment horizontal="left" vertical="top" textRotation="0" wrapText="true" indent="0" shrinkToFit="false"/>
      <protection locked="true" hidden="false"/>
    </xf>
    <xf numFmtId="166" fontId="8" fillId="5" borderId="0" xfId="0" applyFont="true" applyBorder="false" applyAlignment="true" applyProtection="false">
      <alignment horizontal="left" vertical="top" textRotation="0" wrapText="true" indent="0" shrinkToFit="false"/>
      <protection locked="true" hidden="false"/>
    </xf>
    <xf numFmtId="164" fontId="8" fillId="6" borderId="0" xfId="0" applyFont="true" applyBorder="false" applyAlignment="true" applyProtection="false">
      <alignment horizontal="left" vertical="top" textRotation="0" wrapText="true" indent="0" shrinkToFit="false"/>
      <protection locked="true" hidden="false"/>
    </xf>
    <xf numFmtId="165" fontId="8" fillId="6" borderId="0" xfId="0" applyFont="true" applyBorder="false" applyAlignment="true" applyProtection="false">
      <alignment horizontal="left" vertical="top" textRotation="0" wrapText="true" indent="0" shrinkToFit="false"/>
      <protection locked="true" hidden="false"/>
    </xf>
    <xf numFmtId="166" fontId="8" fillId="6" borderId="0" xfId="0" applyFont="true" applyBorder="false" applyAlignment="true" applyProtection="false">
      <alignment horizontal="left" vertical="top" textRotation="0" wrapText="true" indent="0" shrinkToFit="false"/>
      <protection locked="true" hidden="false"/>
    </xf>
    <xf numFmtId="167" fontId="8" fillId="5" borderId="0" xfId="0" applyFont="true" applyBorder="false" applyAlignment="true" applyProtection="false">
      <alignment horizontal="left" vertical="top" textRotation="0" wrapText="true" indent="0" shrinkToFit="false"/>
      <protection locked="true" hidden="false"/>
    </xf>
    <xf numFmtId="167" fontId="8" fillId="6" borderId="0" xfId="0" applyFont="true" applyBorder="fals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8" fontId="8" fillId="6" borderId="1" xfId="0" applyFont="true" applyBorder="true" applyAlignment="true" applyProtection="false">
      <alignment horizontal="left" vertical="top" textRotation="0" wrapText="true" indent="0" shrinkToFit="false"/>
      <protection locked="true" hidden="false"/>
    </xf>
    <xf numFmtId="169" fontId="8" fillId="6" borderId="1" xfId="0" applyFont="true" applyBorder="true" applyAlignment="true" applyProtection="false">
      <alignment horizontal="left" vertical="top" textRotation="0" wrapText="tru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64" fontId="7" fillId="5" borderId="0" xfId="0" applyFont="true" applyBorder="false" applyAlignment="true" applyProtection="false">
      <alignment horizontal="left" vertical="top" textRotation="0" wrapText="true" indent="0" shrinkToFit="false"/>
      <protection locked="true" hidden="false"/>
    </xf>
    <xf numFmtId="167" fontId="9" fillId="5" borderId="0" xfId="0" applyFont="true" applyBorder="false" applyAlignment="true" applyProtection="false">
      <alignment horizontal="left" vertical="top" textRotation="0" wrapText="false" indent="0" shrinkToFit="false"/>
      <protection locked="true" hidden="false"/>
    </xf>
    <xf numFmtId="164" fontId="7" fillId="6" borderId="0" xfId="0" applyFont="true" applyBorder="false" applyAlignment="true" applyProtection="false">
      <alignment horizontal="left" vertical="top" textRotation="0" wrapText="true" indent="0" shrinkToFit="false"/>
      <protection locked="true" hidden="false"/>
    </xf>
    <xf numFmtId="167" fontId="9" fillId="6" borderId="0" xfId="0" applyFont="true" applyBorder="false" applyAlignment="true" applyProtection="false">
      <alignment horizontal="left" vertical="top" textRotation="0" wrapText="fals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0" fillId="7" borderId="0" xfId="0" applyFont="true" applyBorder="true" applyAlignment="true" applyProtection="false">
      <alignment horizontal="left" vertical="top" textRotation="0" wrapText="true" indent="0" shrinkToFit="false"/>
      <protection locked="true" hidden="false"/>
    </xf>
    <xf numFmtId="164" fontId="6" fillId="8"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6CFB8"/>
      <rgbColor rgb="FF808080"/>
      <rgbColor rgb="FF9999FF"/>
      <rgbColor rgb="FF993366"/>
      <rgbColor rgb="FFFFF8EE"/>
      <rgbColor rgb="FFF5F1E8"/>
      <rgbColor rgb="FF6B2230"/>
      <rgbColor rgb="FFFF8080"/>
      <rgbColor rgb="FF0066CC"/>
      <rgbColor rgb="FFCCCCFF"/>
      <rgbColor rgb="FF000080"/>
      <rgbColor rgb="FFFF00FF"/>
      <rgbColor rgb="FFFFFF00"/>
      <rgbColor rgb="FF00FFFF"/>
      <rgbColor rgb="FF800080"/>
      <rgbColor rgb="FF800000"/>
      <rgbColor rgb="FF008080"/>
      <rgbColor rgb="FF0000FF"/>
      <rgbColor rgb="FF00CCFF"/>
      <rgbColor rgb="FFFAF7F2"/>
      <rgbColor rgb="FFCCFFCC"/>
      <rgbColor rgb="FFFFFF99"/>
      <rgbColor rgb="FF99CCFF"/>
      <rgbColor rgb="FFFF99CC"/>
      <rgbColor rgb="FFCC99FF"/>
      <rgbColor rgb="FFFFCC99"/>
      <rgbColor rgb="FF3366FF"/>
      <rgbColor rgb="FF33CCCC"/>
      <rgbColor rgb="FF99CC00"/>
      <rgbColor rgb="FFFFCC00"/>
      <rgbColor rgb="FFC8973A"/>
      <rgbColor rgb="FFFF6600"/>
      <rgbColor rgb="FF6B655A"/>
      <rgbColor rgb="FF969696"/>
      <rgbColor rgb="FF003366"/>
      <rgbColor rgb="FF339966"/>
      <rgbColor rgb="FF003300"/>
      <rgbColor rgb="FF1A1814"/>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5" min="2" style="1" width="14"/>
    <col collapsed="false" customWidth="true" hidden="false" outlineLevel="0" max="6" min="6" style="1" width="40"/>
  </cols>
  <sheetData>
    <row r="1" customFormat="false" ht="25.5" hidden="false" customHeight="true" outlineLevel="0" collapsed="false">
      <c r="A1" s="2" t="s">
        <v>0</v>
      </c>
      <c r="B1" s="2"/>
      <c r="C1" s="2"/>
      <c r="D1" s="2"/>
      <c r="E1" s="2"/>
      <c r="F1" s="2"/>
    </row>
    <row r="2" customFormat="false" ht="15.75" hidden="false" customHeight="true" outlineLevel="0" collapsed="false">
      <c r="A2" s="3" t="s">
        <v>1</v>
      </c>
      <c r="B2" s="3"/>
      <c r="C2" s="3"/>
      <c r="D2" s="3"/>
      <c r="E2" s="3"/>
      <c r="F2" s="3"/>
    </row>
    <row r="4" customFormat="false" ht="19.5" hidden="false" customHeight="true" outlineLevel="0" collapsed="false">
      <c r="A4" s="4" t="s">
        <v>2</v>
      </c>
      <c r="B4" s="4"/>
      <c r="C4" s="4"/>
      <c r="D4" s="4"/>
      <c r="E4" s="4"/>
      <c r="F4" s="4"/>
    </row>
    <row r="5" customFormat="false" ht="15" hidden="false" customHeight="true" outlineLevel="0" collapsed="false">
      <c r="A5" s="5"/>
      <c r="B5" s="5" t="s">
        <v>3</v>
      </c>
      <c r="C5" s="5" t="s">
        <v>4</v>
      </c>
      <c r="D5" s="5" t="s">
        <v>5</v>
      </c>
      <c r="E5" s="5" t="s">
        <v>6</v>
      </c>
      <c r="F5" s="5" t="s">
        <v>7</v>
      </c>
    </row>
    <row r="6" customFormat="false" ht="15" hidden="false" customHeight="true" outlineLevel="0" collapsed="false">
      <c r="A6" s="6" t="s">
        <v>8</v>
      </c>
      <c r="B6" s="7" t="n">
        <v>1108</v>
      </c>
      <c r="C6" s="7" t="n">
        <v>1165</v>
      </c>
      <c r="D6" s="7" t="n">
        <v>1217</v>
      </c>
      <c r="E6" s="8" t="n">
        <f aca="false">((D7-C7)/C7)</f>
        <v>-0.0267062314540059</v>
      </c>
      <c r="F6" s="6" t="s">
        <v>9</v>
      </c>
    </row>
    <row r="7" customFormat="false" ht="15" hidden="false" customHeight="true" outlineLevel="0" collapsed="false">
      <c r="A7" s="9" t="s">
        <v>10</v>
      </c>
      <c r="B7" s="10" t="n">
        <v>334</v>
      </c>
      <c r="C7" s="10" t="n">
        <v>337</v>
      </c>
      <c r="D7" s="10" t="n">
        <v>328</v>
      </c>
      <c r="E7" s="11" t="n">
        <f aca="false">(D7-C7)/C7</f>
        <v>-0.0267062314540059</v>
      </c>
      <c r="F7" s="9" t="s">
        <v>11</v>
      </c>
    </row>
    <row r="8" customFormat="false" ht="15" hidden="false" customHeight="true" outlineLevel="0" collapsed="false">
      <c r="A8" s="6" t="s">
        <v>12</v>
      </c>
      <c r="B8" s="12" t="n">
        <v>0.3015</v>
      </c>
      <c r="C8" s="12" t="n">
        <v>0.2893</v>
      </c>
      <c r="D8" s="12" t="n">
        <v>0.2695</v>
      </c>
      <c r="E8" s="6" t="s">
        <v>13</v>
      </c>
      <c r="F8" s="6" t="s">
        <v>14</v>
      </c>
    </row>
    <row r="9" customFormat="false" ht="15" hidden="false" customHeight="true" outlineLevel="0" collapsed="false">
      <c r="A9" s="9" t="s">
        <v>15</v>
      </c>
      <c r="B9" s="13" t="n">
        <v>0.3015</v>
      </c>
      <c r="C9" s="13" t="n">
        <v>0.2893</v>
      </c>
      <c r="D9" s="13" t="n">
        <v>0.2695</v>
      </c>
      <c r="E9" s="13" t="n">
        <f aca="false">D9-C9</f>
        <v>-0.0198</v>
      </c>
      <c r="F9" s="9" t="s">
        <v>16</v>
      </c>
    </row>
    <row r="10" customFormat="false" ht="15" hidden="false" customHeight="true" outlineLevel="0" collapsed="false">
      <c r="A10" s="6" t="s">
        <v>17</v>
      </c>
      <c r="B10" s="7" t="n">
        <v>124</v>
      </c>
      <c r="C10" s="7" t="n">
        <v>98</v>
      </c>
      <c r="D10" s="7" t="n">
        <v>75</v>
      </c>
      <c r="E10" s="8" t="n">
        <f aca="false">(D10-C10)/C10</f>
        <v>-0.23469387755102</v>
      </c>
      <c r="F10" s="6" t="s">
        <v>18</v>
      </c>
    </row>
    <row r="11" customFormat="false" ht="15" hidden="false" customHeight="true" outlineLevel="0" collapsed="false">
      <c r="A11" s="9" t="s">
        <v>19</v>
      </c>
      <c r="B11" s="13" t="n">
        <v>0.1119</v>
      </c>
      <c r="C11" s="13" t="n">
        <v>0.0841</v>
      </c>
      <c r="D11" s="13" t="n">
        <v>0.0616</v>
      </c>
      <c r="E11" s="11" t="n">
        <v>-0.0225</v>
      </c>
      <c r="F11" s="9" t="s">
        <v>20</v>
      </c>
    </row>
    <row r="12" customFormat="false" ht="15" hidden="false" customHeight="true" outlineLevel="0" collapsed="false">
      <c r="A12" s="6" t="s">
        <v>21</v>
      </c>
      <c r="B12" s="12" t="n">
        <v>0.1119</v>
      </c>
      <c r="C12" s="12" t="n">
        <v>0.0841</v>
      </c>
      <c r="D12" s="12" t="n">
        <v>0.0616</v>
      </c>
      <c r="E12" s="12" t="n">
        <f aca="false">D12-C12</f>
        <v>-0.0225</v>
      </c>
      <c r="F12" s="6" t="s">
        <v>22</v>
      </c>
    </row>
    <row r="13" customFormat="false" ht="15" hidden="false" customHeight="true" outlineLevel="0" collapsed="false">
      <c r="A13" s="14" t="s">
        <v>23</v>
      </c>
      <c r="B13" s="15" t="n">
        <v>1.975</v>
      </c>
      <c r="C13" s="15" t="n">
        <v>2.739</v>
      </c>
      <c r="D13" s="15" t="n">
        <v>3.771</v>
      </c>
      <c r="E13" s="16" t="n">
        <v>1.032</v>
      </c>
      <c r="F13" s="14" t="s">
        <v>24</v>
      </c>
    </row>
    <row r="14" customFormat="false" ht="15" hidden="false" customHeight="true" outlineLevel="0" collapsed="false">
      <c r="B14" s="17" t="n">
        <v>1.975</v>
      </c>
      <c r="C14" s="17" t="n">
        <v>2.739</v>
      </c>
      <c r="D14" s="17" t="n">
        <v>3.771</v>
      </c>
      <c r="E14" s="17" t="n">
        <f aca="false">D14-C14</f>
        <v>1.032</v>
      </c>
    </row>
    <row r="15" customFormat="false" ht="19.5" hidden="false" customHeight="true" outlineLevel="0" collapsed="false">
      <c r="A15" s="4" t="s">
        <v>25</v>
      </c>
      <c r="B15" s="4"/>
      <c r="C15" s="4"/>
      <c r="D15" s="4"/>
      <c r="E15" s="4"/>
      <c r="F15" s="4"/>
    </row>
    <row r="16" customFormat="false" ht="15" hidden="false" customHeight="true" outlineLevel="0" collapsed="false">
      <c r="A16" s="5" t="s">
        <v>26</v>
      </c>
      <c r="B16" s="5" t="s">
        <v>8</v>
      </c>
      <c r="C16" s="5" t="s">
        <v>17</v>
      </c>
      <c r="D16" s="5" t="s">
        <v>27</v>
      </c>
      <c r="E16" s="5" t="s">
        <v>28</v>
      </c>
      <c r="F16" s="5" t="s">
        <v>7</v>
      </c>
    </row>
    <row r="17" customFormat="false" ht="15" hidden="false" customHeight="true" outlineLevel="0" collapsed="false">
      <c r="A17" s="18" t="s">
        <v>29</v>
      </c>
      <c r="B17" s="7" t="n">
        <v>438</v>
      </c>
      <c r="C17" s="7" t="n">
        <v>48</v>
      </c>
      <c r="D17" s="19" t="n">
        <f aca="false">C17/B17</f>
        <v>0.10958904109589</v>
      </c>
      <c r="E17" s="6" t="s">
        <v>30</v>
      </c>
      <c r="F17" s="6" t="s">
        <v>31</v>
      </c>
    </row>
    <row r="18" customFormat="false" ht="21.75" hidden="false" customHeight="true" outlineLevel="0" collapsed="false">
      <c r="A18" s="20" t="s">
        <v>32</v>
      </c>
      <c r="B18" s="10" t="n">
        <v>312</v>
      </c>
      <c r="C18" s="10" t="n">
        <v>28</v>
      </c>
      <c r="D18" s="21" t="n">
        <f aca="false">C18/B18</f>
        <v>0.0897435897435897</v>
      </c>
      <c r="E18" s="9" t="s">
        <v>33</v>
      </c>
      <c r="F18" s="9" t="s">
        <v>34</v>
      </c>
    </row>
    <row r="19" customFormat="false" ht="21.75" hidden="false" customHeight="true" outlineLevel="0" collapsed="false">
      <c r="A19" s="18" t="s">
        <v>35</v>
      </c>
      <c r="B19" s="7" t="n">
        <v>198</v>
      </c>
      <c r="C19" s="7" t="n">
        <v>12</v>
      </c>
      <c r="D19" s="19" t="n">
        <f aca="false">C19/B19</f>
        <v>0.0606060606060606</v>
      </c>
      <c r="E19" s="6" t="s">
        <v>36</v>
      </c>
      <c r="F19" s="6" t="s">
        <v>37</v>
      </c>
    </row>
    <row r="20" customFormat="false" ht="21.75" hidden="false" customHeight="true" outlineLevel="0" collapsed="false">
      <c r="A20" s="20" t="s">
        <v>38</v>
      </c>
      <c r="B20" s="10" t="n">
        <v>269</v>
      </c>
      <c r="C20" s="10" t="n">
        <v>-13</v>
      </c>
      <c r="D20" s="21" t="n">
        <f aca="false">C20/B20</f>
        <v>-0.0483271375464684</v>
      </c>
      <c r="E20" s="9" t="s">
        <v>39</v>
      </c>
      <c r="F20" s="9" t="s">
        <v>40</v>
      </c>
    </row>
    <row r="22" customFormat="false" ht="19.5" hidden="false" customHeight="true" outlineLevel="0" collapsed="false">
      <c r="A22" s="4" t="s">
        <v>41</v>
      </c>
      <c r="B22" s="4"/>
      <c r="C22" s="4"/>
      <c r="D22" s="4"/>
      <c r="E22" s="4"/>
      <c r="F22" s="4"/>
    </row>
    <row r="23" customFormat="false" ht="15" hidden="false" customHeight="true" outlineLevel="0" collapsed="false">
      <c r="A23" s="5" t="s">
        <v>42</v>
      </c>
      <c r="B23" s="5" t="s">
        <v>43</v>
      </c>
      <c r="C23" s="5" t="s">
        <v>44</v>
      </c>
      <c r="D23" s="5" t="s">
        <v>45</v>
      </c>
      <c r="E23" s="5"/>
      <c r="F23" s="5" t="s">
        <v>46</v>
      </c>
    </row>
    <row r="24" customFormat="false" ht="72" hidden="false" customHeight="true" outlineLevel="0" collapsed="false">
      <c r="A24" s="22" t="s">
        <v>47</v>
      </c>
      <c r="B24" s="22" t="s">
        <v>48</v>
      </c>
      <c r="C24" s="22" t="s">
        <v>49</v>
      </c>
      <c r="D24" s="22" t="s">
        <v>50</v>
      </c>
      <c r="E24" s="23"/>
      <c r="F24" s="22" t="s">
        <v>51</v>
      </c>
    </row>
    <row r="25" customFormat="false" ht="72" hidden="false" customHeight="true" outlineLevel="0" collapsed="false">
      <c r="A25" s="14" t="s">
        <v>52</v>
      </c>
      <c r="B25" s="14" t="s">
        <v>53</v>
      </c>
      <c r="C25" s="14" t="s">
        <v>54</v>
      </c>
      <c r="D25" s="14" t="s">
        <v>55</v>
      </c>
      <c r="E25" s="23"/>
      <c r="F25" s="14" t="s">
        <v>56</v>
      </c>
    </row>
    <row r="26" customFormat="false" ht="72" hidden="false" customHeight="true" outlineLevel="0" collapsed="false">
      <c r="A26" s="22" t="s">
        <v>57</v>
      </c>
      <c r="B26" s="22" t="s">
        <v>58</v>
      </c>
      <c r="C26" s="22" t="s">
        <v>59</v>
      </c>
      <c r="D26" s="22" t="s">
        <v>60</v>
      </c>
      <c r="E26" s="23"/>
      <c r="F26" s="22" t="s">
        <v>61</v>
      </c>
    </row>
    <row r="27" customFormat="false" ht="72" hidden="false" customHeight="true" outlineLevel="0" collapsed="false">
      <c r="A27" s="14" t="s">
        <v>62</v>
      </c>
      <c r="B27" s="14" t="s">
        <v>63</v>
      </c>
      <c r="C27" s="14" t="s">
        <v>64</v>
      </c>
      <c r="D27" s="14" t="s">
        <v>65</v>
      </c>
      <c r="E27" s="23"/>
      <c r="F27" s="14" t="s">
        <v>66</v>
      </c>
    </row>
    <row r="28" customFormat="false" ht="72" hidden="false" customHeight="true" outlineLevel="0" collapsed="false">
      <c r="A28" s="22" t="s">
        <v>67</v>
      </c>
      <c r="B28" s="22" t="s">
        <v>68</v>
      </c>
      <c r="C28" s="22" t="s">
        <v>64</v>
      </c>
      <c r="D28" s="22" t="s">
        <v>69</v>
      </c>
      <c r="E28" s="23"/>
      <c r="F28" s="22" t="s">
        <v>70</v>
      </c>
    </row>
  </sheetData>
  <mergeCells count="5">
    <mergeCell ref="A1:F1"/>
    <mergeCell ref="A2:F2"/>
    <mergeCell ref="A4:F4"/>
    <mergeCell ref="A15:F15"/>
    <mergeCell ref="A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4" min="2" style="1" width="36"/>
  </cols>
  <sheetData>
    <row r="1" customFormat="false" ht="25.5" hidden="false" customHeight="true" outlineLevel="0" collapsed="false">
      <c r="A1" s="2" t="s">
        <v>71</v>
      </c>
      <c r="B1" s="2"/>
      <c r="C1" s="2"/>
      <c r="D1" s="2"/>
    </row>
    <row r="2" customFormat="false" ht="15" hidden="false" customHeight="true" outlineLevel="0" collapsed="false">
      <c r="A2" s="3" t="s">
        <v>72</v>
      </c>
      <c r="B2" s="3"/>
      <c r="C2" s="3"/>
      <c r="D2" s="3"/>
    </row>
    <row r="4" customFormat="false" ht="19.5" hidden="false" customHeight="true" outlineLevel="0" collapsed="false">
      <c r="A4" s="4" t="s">
        <v>73</v>
      </c>
      <c r="B4" s="4"/>
      <c r="C4" s="4"/>
      <c r="D4" s="4"/>
    </row>
    <row r="5" customFormat="false" ht="48" hidden="false" customHeight="true" outlineLevel="0" collapsed="false">
      <c r="A5" s="24" t="s">
        <v>74</v>
      </c>
      <c r="B5" s="24"/>
      <c r="C5" s="24"/>
      <c r="D5" s="24"/>
    </row>
    <row r="7" customFormat="false" ht="19.5" hidden="false" customHeight="true" outlineLevel="0" collapsed="false">
      <c r="A7" s="25" t="s">
        <v>75</v>
      </c>
      <c r="B7" s="25"/>
      <c r="C7" s="25"/>
      <c r="D7" s="25"/>
    </row>
    <row r="8" customFormat="false" ht="15" hidden="false" customHeight="true" outlineLevel="0" collapsed="false">
      <c r="A8" s="5" t="s">
        <v>76</v>
      </c>
      <c r="B8" s="5" t="s">
        <v>77</v>
      </c>
      <c r="C8" s="5" t="s">
        <v>78</v>
      </c>
      <c r="D8" s="5" t="s">
        <v>79</v>
      </c>
    </row>
    <row r="9" customFormat="false" ht="30" hidden="false" customHeight="true" outlineLevel="0" collapsed="false">
      <c r="A9" s="6" t="s">
        <v>80</v>
      </c>
      <c r="B9" s="6" t="s">
        <v>81</v>
      </c>
      <c r="C9" s="6" t="s">
        <v>82</v>
      </c>
      <c r="D9" s="6" t="s">
        <v>83</v>
      </c>
    </row>
    <row r="10" customFormat="false" ht="30" hidden="false" customHeight="true" outlineLevel="0" collapsed="false">
      <c r="A10" s="9" t="s">
        <v>27</v>
      </c>
      <c r="B10" s="9" t="s">
        <v>84</v>
      </c>
      <c r="C10" s="9" t="s">
        <v>85</v>
      </c>
      <c r="D10" s="9" t="s">
        <v>86</v>
      </c>
    </row>
    <row r="11" customFormat="false" ht="30" hidden="false" customHeight="true" outlineLevel="0" collapsed="false">
      <c r="A11" s="6" t="s">
        <v>87</v>
      </c>
      <c r="B11" s="6" t="s">
        <v>88</v>
      </c>
      <c r="C11" s="6" t="s">
        <v>89</v>
      </c>
      <c r="D11" s="6" t="s">
        <v>90</v>
      </c>
    </row>
    <row r="12" customFormat="false" ht="30" hidden="false" customHeight="true" outlineLevel="0" collapsed="false">
      <c r="A12" s="9" t="s">
        <v>91</v>
      </c>
      <c r="B12" s="9" t="s">
        <v>92</v>
      </c>
      <c r="C12" s="9" t="s">
        <v>93</v>
      </c>
      <c r="D12" s="9" t="s">
        <v>94</v>
      </c>
    </row>
    <row r="13" customFormat="false" ht="30" hidden="false" customHeight="true" outlineLevel="0" collapsed="false">
      <c r="A13" s="6" t="s">
        <v>95</v>
      </c>
      <c r="B13" s="6" t="s">
        <v>13</v>
      </c>
      <c r="C13" s="6" t="s">
        <v>96</v>
      </c>
      <c r="D13" s="6" t="s">
        <v>97</v>
      </c>
    </row>
    <row r="14" customFormat="false" ht="30" hidden="false" customHeight="true" outlineLevel="0" collapsed="false">
      <c r="A14" s="9" t="s">
        <v>98</v>
      </c>
      <c r="B14" s="9" t="s">
        <v>99</v>
      </c>
      <c r="C14" s="9" t="s">
        <v>100</v>
      </c>
      <c r="D14" s="9" t="s">
        <v>101</v>
      </c>
    </row>
    <row r="15" customFormat="false" ht="30" hidden="false" customHeight="true" outlineLevel="0" collapsed="false">
      <c r="A15" s="6" t="s">
        <v>102</v>
      </c>
      <c r="B15" s="6" t="s">
        <v>103</v>
      </c>
      <c r="C15" s="6" t="s">
        <v>104</v>
      </c>
      <c r="D15" s="6" t="s">
        <v>105</v>
      </c>
    </row>
    <row r="17" customFormat="false" ht="19.5" hidden="false" customHeight="true" outlineLevel="0" collapsed="false">
      <c r="A17" s="4" t="s">
        <v>106</v>
      </c>
      <c r="B17" s="4"/>
      <c r="C17" s="4"/>
      <c r="D17" s="4"/>
    </row>
    <row r="18" customFormat="false" ht="15" hidden="false" customHeight="true" outlineLevel="0" collapsed="false">
      <c r="A18" s="5" t="s">
        <v>76</v>
      </c>
      <c r="B18" s="5" t="s">
        <v>77</v>
      </c>
      <c r="C18" s="5" t="s">
        <v>78</v>
      </c>
      <c r="D18" s="5" t="s">
        <v>7</v>
      </c>
    </row>
    <row r="19" customFormat="false" ht="36" hidden="false" customHeight="true" outlineLevel="0" collapsed="false">
      <c r="A19" s="6" t="s">
        <v>107</v>
      </c>
      <c r="B19" s="6" t="s">
        <v>108</v>
      </c>
      <c r="C19" s="6" t="s">
        <v>109</v>
      </c>
      <c r="D19" s="6" t="s">
        <v>110</v>
      </c>
    </row>
    <row r="20" customFormat="false" ht="36" hidden="false" customHeight="true" outlineLevel="0" collapsed="false">
      <c r="A20" s="9" t="s">
        <v>111</v>
      </c>
      <c r="B20" s="9" t="s">
        <v>112</v>
      </c>
      <c r="C20" s="9" t="s">
        <v>113</v>
      </c>
      <c r="D20" s="9" t="s">
        <v>114</v>
      </c>
    </row>
    <row r="21" customFormat="false" ht="36" hidden="false" customHeight="true" outlineLevel="0" collapsed="false">
      <c r="A21" s="6" t="s">
        <v>115</v>
      </c>
      <c r="B21" s="6" t="s">
        <v>116</v>
      </c>
      <c r="C21" s="6" t="s">
        <v>117</v>
      </c>
      <c r="D21" s="6" t="s">
        <v>118</v>
      </c>
    </row>
    <row r="22" customFormat="false" ht="36" hidden="false" customHeight="true" outlineLevel="0" collapsed="false">
      <c r="A22" s="9" t="s">
        <v>119</v>
      </c>
      <c r="B22" s="9" t="s">
        <v>120</v>
      </c>
      <c r="C22" s="9" t="s">
        <v>121</v>
      </c>
      <c r="D22" s="9" t="s">
        <v>122</v>
      </c>
    </row>
    <row r="23" customFormat="false" ht="36" hidden="false" customHeight="true" outlineLevel="0" collapsed="false">
      <c r="A23" s="6" t="s">
        <v>123</v>
      </c>
      <c r="B23" s="6" t="s">
        <v>124</v>
      </c>
      <c r="C23" s="6" t="s">
        <v>125</v>
      </c>
      <c r="D23" s="6" t="s">
        <v>126</v>
      </c>
    </row>
    <row r="24" customFormat="false" ht="36" hidden="false" customHeight="true" outlineLevel="0" collapsed="false">
      <c r="A24" s="9" t="s">
        <v>127</v>
      </c>
      <c r="B24" s="9" t="s">
        <v>128</v>
      </c>
      <c r="C24" s="9" t="s">
        <v>129</v>
      </c>
      <c r="D24" s="9" t="s">
        <v>130</v>
      </c>
    </row>
    <row r="26" customFormat="false" ht="19.5" hidden="false" customHeight="true" outlineLevel="0" collapsed="false">
      <c r="A26" s="26" t="s">
        <v>131</v>
      </c>
      <c r="B26" s="26"/>
      <c r="C26" s="26"/>
      <c r="D26" s="26"/>
    </row>
    <row r="27" customFormat="false" ht="15" hidden="false" customHeight="true" outlineLevel="0" collapsed="false">
      <c r="A27" s="5" t="s">
        <v>132</v>
      </c>
      <c r="B27" s="5" t="s">
        <v>133</v>
      </c>
      <c r="C27" s="5" t="s">
        <v>134</v>
      </c>
      <c r="D27" s="5" t="s">
        <v>135</v>
      </c>
    </row>
    <row r="28" customFormat="false" ht="60" hidden="false" customHeight="true" outlineLevel="0" collapsed="false">
      <c r="A28" s="22" t="s">
        <v>136</v>
      </c>
      <c r="B28" s="22" t="s">
        <v>137</v>
      </c>
      <c r="C28" s="22" t="s">
        <v>138</v>
      </c>
      <c r="D28" s="22" t="s">
        <v>139</v>
      </c>
    </row>
    <row r="29" customFormat="false" ht="60" hidden="false" customHeight="true" outlineLevel="0" collapsed="false">
      <c r="A29" s="14" t="s">
        <v>140</v>
      </c>
      <c r="B29" s="14" t="s">
        <v>141</v>
      </c>
      <c r="C29" s="14" t="s">
        <v>142</v>
      </c>
      <c r="D29" s="14" t="s">
        <v>143</v>
      </c>
    </row>
    <row r="30" customFormat="false" ht="60" hidden="false" customHeight="true" outlineLevel="0" collapsed="false">
      <c r="A30" s="22" t="s">
        <v>144</v>
      </c>
      <c r="B30" s="22" t="s">
        <v>145</v>
      </c>
      <c r="C30" s="22" t="s">
        <v>146</v>
      </c>
      <c r="D30" s="22" t="s">
        <v>147</v>
      </c>
    </row>
    <row r="31" customFormat="false" ht="60" hidden="false" customHeight="true" outlineLevel="0" collapsed="false">
      <c r="A31" s="14" t="s">
        <v>148</v>
      </c>
      <c r="B31" s="14" t="s">
        <v>149</v>
      </c>
      <c r="C31" s="14" t="s">
        <v>150</v>
      </c>
      <c r="D31" s="14" t="s">
        <v>151</v>
      </c>
    </row>
    <row r="32" customFormat="false" ht="60" hidden="false" customHeight="true" outlineLevel="0" collapsed="false">
      <c r="A32" s="22" t="s">
        <v>152</v>
      </c>
      <c r="B32" s="22" t="s">
        <v>153</v>
      </c>
      <c r="C32" s="22" t="s">
        <v>154</v>
      </c>
      <c r="D32" s="22" t="s">
        <v>155</v>
      </c>
    </row>
  </sheetData>
  <mergeCells count="7">
    <mergeCell ref="A1:D1"/>
    <mergeCell ref="A2:D2"/>
    <mergeCell ref="A4:D4"/>
    <mergeCell ref="A5:D5"/>
    <mergeCell ref="A7:D7"/>
    <mergeCell ref="A17:D17"/>
    <mergeCell ref="A26:D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6"/>
    <col collapsed="false" customWidth="true" hidden="false" outlineLevel="0" max="3" min="3" style="1" width="100"/>
  </cols>
  <sheetData>
    <row r="1" customFormat="false" ht="25.5" hidden="false" customHeight="true" outlineLevel="0" collapsed="false">
      <c r="A1" s="2" t="s">
        <v>156</v>
      </c>
      <c r="B1" s="2"/>
      <c r="C1" s="2"/>
    </row>
    <row r="2" customFormat="false" ht="15" hidden="false" customHeight="true" outlineLevel="0" collapsed="false">
      <c r="A2" s="3" t="s">
        <v>157</v>
      </c>
      <c r="B2" s="3"/>
      <c r="C2" s="3"/>
    </row>
    <row r="4" customFormat="false" ht="19.5" hidden="false" customHeight="true" outlineLevel="0" collapsed="false">
      <c r="A4" s="4" t="s">
        <v>158</v>
      </c>
      <c r="B4" s="4"/>
      <c r="C4" s="4"/>
    </row>
    <row r="5" customFormat="false" ht="147.75" hidden="false" customHeight="true" outlineLevel="0" collapsed="false">
      <c r="A5" s="27" t="s">
        <v>159</v>
      </c>
      <c r="B5" s="27"/>
      <c r="C5" s="27"/>
    </row>
    <row r="7" customFormat="false" ht="19.5" hidden="false" customHeight="true" outlineLevel="0" collapsed="false">
      <c r="A7" s="4" t="s">
        <v>160</v>
      </c>
      <c r="B7" s="4"/>
      <c r="C7" s="4"/>
    </row>
    <row r="8" customFormat="false" ht="153.75" hidden="false" customHeight="true" outlineLevel="0" collapsed="false">
      <c r="A8" s="27" t="s">
        <v>161</v>
      </c>
      <c r="B8" s="27"/>
      <c r="C8" s="27"/>
    </row>
    <row r="10" customFormat="false" ht="19.5" hidden="false" customHeight="true" outlineLevel="0" collapsed="false">
      <c r="A10" s="4" t="s">
        <v>162</v>
      </c>
      <c r="B10" s="4"/>
      <c r="C10" s="4"/>
    </row>
    <row r="11" customFormat="false" ht="195" hidden="false" customHeight="true" outlineLevel="0" collapsed="false">
      <c r="A11" s="27" t="s">
        <v>163</v>
      </c>
      <c r="B11" s="27"/>
      <c r="C11" s="27"/>
    </row>
    <row r="13" customFormat="false" ht="19.5" hidden="false" customHeight="true" outlineLevel="0" collapsed="false">
      <c r="A13" s="4" t="s">
        <v>164</v>
      </c>
      <c r="B13" s="4"/>
      <c r="C13" s="4"/>
    </row>
    <row r="14" customFormat="false" ht="169.5" hidden="false" customHeight="true" outlineLevel="0" collapsed="false">
      <c r="A14" s="27" t="s">
        <v>165</v>
      </c>
      <c r="B14" s="27"/>
      <c r="C14" s="27"/>
    </row>
    <row r="16" customFormat="false" ht="19.5" hidden="false" customHeight="true" outlineLevel="0" collapsed="false">
      <c r="A16" s="4" t="s">
        <v>166</v>
      </c>
      <c r="B16" s="4"/>
      <c r="C16" s="4"/>
    </row>
    <row r="17" customFormat="false" ht="180.75" hidden="false" customHeight="true" outlineLevel="0" collapsed="false">
      <c r="A17" s="27" t="s">
        <v>167</v>
      </c>
      <c r="B17" s="27"/>
      <c r="C17" s="27"/>
    </row>
    <row r="19" customFormat="false" ht="19.5" hidden="false" customHeight="true" outlineLevel="0" collapsed="false">
      <c r="A19" s="4" t="s">
        <v>168</v>
      </c>
      <c r="B19" s="4"/>
      <c r="C19" s="4"/>
    </row>
    <row r="20" customFormat="false" ht="157.5" hidden="false" customHeight="true" outlineLevel="0" collapsed="false">
      <c r="A20" s="27" t="s">
        <v>169</v>
      </c>
      <c r="B20" s="27"/>
      <c r="C20" s="27"/>
    </row>
  </sheetData>
  <mergeCells count="14">
    <mergeCell ref="A1:C1"/>
    <mergeCell ref="A2:C2"/>
    <mergeCell ref="A4:C4"/>
    <mergeCell ref="A5:C5"/>
    <mergeCell ref="A7:C7"/>
    <mergeCell ref="A8:C8"/>
    <mergeCell ref="A10:C10"/>
    <mergeCell ref="A11:C11"/>
    <mergeCell ref="A13:C13"/>
    <mergeCell ref="A14:C14"/>
    <mergeCell ref="A16:C16"/>
    <mergeCell ref="A17:C17"/>
    <mergeCell ref="A19:C19"/>
    <mergeCell ref="A20:C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2026-05-21T09:12:03Z</dcterms:created>
  <dc:creator>openpyxl</dc:creator>
  <dc:description/>
  <dc:language>en-US</dc:language>
  <cp:lastModifiedBy/>
  <dcterms:modified xsi:type="dcterms:W3CDTF">2026-05-21T09:12:51Z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